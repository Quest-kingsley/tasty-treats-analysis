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TICS\"/>
    </mc:Choice>
  </mc:AlternateContent>
  <xr:revisionPtr revIDLastSave="0" documentId="13_ncr:1_{739CC3BA-6586-4107-9AE5-5C1C697D8D59}" xr6:coauthVersionLast="47" xr6:coauthVersionMax="47" xr10:uidLastSave="{00000000-0000-0000-0000-000000000000}"/>
  <bookViews>
    <workbookView xWindow="-120" yWindow="-120" windowWidth="20730" windowHeight="11310" xr2:uid="{5F0C5A1F-FD6F-40C5-BA0D-625C59BA7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3" i="1"/>
  <c r="G4" i="1"/>
  <c r="G5" i="1"/>
  <c r="G6" i="1"/>
  <c r="G7" i="1"/>
  <c r="G8" i="1"/>
  <c r="G9" i="1"/>
  <c r="G10" i="1"/>
  <c r="G11" i="1"/>
  <c r="G2" i="1"/>
  <c r="I2" i="1" l="1"/>
  <c r="J2" i="1"/>
</calcChain>
</file>

<file path=xl/sharedStrings.xml><?xml version="1.0" encoding="utf-8"?>
<sst xmlns="http://schemas.openxmlformats.org/spreadsheetml/2006/main" count="30" uniqueCount="23">
  <si>
    <t>Category</t>
  </si>
  <si>
    <t>Total_Revenue</t>
  </si>
  <si>
    <t>Item_ID</t>
  </si>
  <si>
    <t>Item_Name</t>
  </si>
  <si>
    <t>Price</t>
  </si>
  <si>
    <t>Quantity_Sold</t>
  </si>
  <si>
    <t>Date</t>
  </si>
  <si>
    <t>Sourdough Loaf</t>
  </si>
  <si>
    <t>Bread</t>
  </si>
  <si>
    <t>Chocolate Croissant</t>
  </si>
  <si>
    <t>Pastry</t>
  </si>
  <si>
    <t>Blueberry Muffin</t>
  </si>
  <si>
    <t>Baguette</t>
  </si>
  <si>
    <t>Gluten-Free Brownie</t>
  </si>
  <si>
    <t>Dessert</t>
  </si>
  <si>
    <t>Cinnamon Roll</t>
  </si>
  <si>
    <t>Birthday Cake</t>
  </si>
  <si>
    <t>Oatmeal Cookie</t>
  </si>
  <si>
    <t>Rye Bread</t>
  </si>
  <si>
    <t>Cupcake Tower</t>
  </si>
  <si>
    <t>Remark</t>
  </si>
  <si>
    <t>Top seller count</t>
  </si>
  <si>
    <t>Standrad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</si>
</sst>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587D-2C23-4E1D-AD6D-E886DFD08A6F}">
  <dimension ref="A1:J13"/>
  <sheetViews>
    <sheetView tabSelected="1" workbookViewId="0">
      <selection activeCell="G15" sqref="G15"/>
    </sheetView>
  </sheetViews>
  <sheetFormatPr defaultRowHeight="15" x14ac:dyDescent="0.25"/>
  <cols>
    <col min="1" max="1" width="8" bestFit="1" customWidth="1"/>
    <col min="2" max="2" width="19.85546875" bestFit="1" customWidth="1"/>
    <col min="3" max="3" width="8.85546875" bestFit="1" customWidth="1"/>
    <col min="4" max="4" width="5.42578125" bestFit="1" customWidth="1"/>
    <col min="5" max="5" width="13.7109375" bestFit="1" customWidth="1"/>
    <col min="6" max="6" width="9.7109375" bestFit="1" customWidth="1"/>
    <col min="7" max="7" width="14.42578125" bestFit="1" customWidth="1"/>
    <col min="8" max="8" width="9.7109375" bestFit="1" customWidth="1"/>
    <col min="9" max="9" width="15.28515625" bestFit="1" customWidth="1"/>
    <col min="10" max="10" width="14.42578125" bestFit="1" customWidth="1"/>
  </cols>
  <sheetData>
    <row r="1" spans="1:10" x14ac:dyDescent="0.2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1</v>
      </c>
      <c r="H1" t="s">
        <v>20</v>
      </c>
      <c r="I1" t="s">
        <v>21</v>
      </c>
      <c r="J1" t="s">
        <v>22</v>
      </c>
    </row>
    <row r="2" spans="1:10" x14ac:dyDescent="0.25">
      <c r="A2">
        <v>1</v>
      </c>
      <c r="B2" t="s">
        <v>7</v>
      </c>
      <c r="C2" t="s">
        <v>8</v>
      </c>
      <c r="D2">
        <v>6.5</v>
      </c>
      <c r="E2">
        <v>12</v>
      </c>
      <c r="F2" s="1">
        <v>46032</v>
      </c>
      <c r="G2">
        <f>(D2*E2)</f>
        <v>78</v>
      </c>
      <c r="I2">
        <f>COUNTIF(H2:H11,"Top seller")</f>
        <v>0</v>
      </c>
      <c r="J2">
        <f>COUNTIF(H2:H11,"STANDARD")</f>
        <v>0</v>
      </c>
    </row>
    <row r="3" spans="1:10" x14ac:dyDescent="0.25">
      <c r="A3">
        <v>2</v>
      </c>
      <c r="B3" t="s">
        <v>9</v>
      </c>
      <c r="C3" t="s">
        <v>10</v>
      </c>
      <c r="D3">
        <v>4.25</v>
      </c>
      <c r="E3">
        <v>25</v>
      </c>
      <c r="F3" s="1">
        <v>46032</v>
      </c>
      <c r="G3">
        <f t="shared" ref="G3:G11" si="0">(D3*E3)</f>
        <v>106.25</v>
      </c>
    </row>
    <row r="4" spans="1:10" x14ac:dyDescent="0.25">
      <c r="A4">
        <v>3</v>
      </c>
      <c r="B4" t="s">
        <v>11</v>
      </c>
      <c r="C4" t="s">
        <v>10</v>
      </c>
      <c r="D4">
        <v>3.5</v>
      </c>
      <c r="E4">
        <v>18</v>
      </c>
      <c r="F4" s="1">
        <v>46033</v>
      </c>
      <c r="G4">
        <f t="shared" si="0"/>
        <v>63</v>
      </c>
    </row>
    <row r="5" spans="1:10" x14ac:dyDescent="0.25">
      <c r="A5">
        <v>4</v>
      </c>
      <c r="B5" t="s">
        <v>12</v>
      </c>
      <c r="C5" t="s">
        <v>8</v>
      </c>
      <c r="D5">
        <v>3</v>
      </c>
      <c r="E5">
        <v>30</v>
      </c>
      <c r="F5" s="1">
        <v>46033</v>
      </c>
      <c r="G5">
        <f t="shared" si="0"/>
        <v>90</v>
      </c>
    </row>
    <row r="6" spans="1:10" x14ac:dyDescent="0.25">
      <c r="A6">
        <v>5</v>
      </c>
      <c r="B6" t="s">
        <v>13</v>
      </c>
      <c r="C6" t="s">
        <v>14</v>
      </c>
      <c r="D6">
        <v>5</v>
      </c>
      <c r="E6">
        <v>8</v>
      </c>
      <c r="F6" s="1">
        <v>46034</v>
      </c>
      <c r="G6">
        <f t="shared" si="0"/>
        <v>40</v>
      </c>
    </row>
    <row r="7" spans="1:10" x14ac:dyDescent="0.25">
      <c r="A7">
        <v>6</v>
      </c>
      <c r="B7" t="s">
        <v>15</v>
      </c>
      <c r="C7" t="s">
        <v>10</v>
      </c>
      <c r="D7">
        <v>4.75</v>
      </c>
      <c r="E7">
        <v>22</v>
      </c>
      <c r="F7" s="1">
        <v>46034</v>
      </c>
      <c r="G7">
        <f t="shared" si="0"/>
        <v>104.5</v>
      </c>
    </row>
    <row r="8" spans="1:10" x14ac:dyDescent="0.25">
      <c r="A8">
        <v>7</v>
      </c>
      <c r="B8" t="s">
        <v>16</v>
      </c>
      <c r="C8" t="s">
        <v>14</v>
      </c>
      <c r="D8">
        <v>35</v>
      </c>
      <c r="E8">
        <v>2</v>
      </c>
      <c r="F8" s="1">
        <v>46035</v>
      </c>
      <c r="G8">
        <f t="shared" si="0"/>
        <v>70</v>
      </c>
    </row>
    <row r="9" spans="1:10" x14ac:dyDescent="0.25">
      <c r="A9">
        <v>8</v>
      </c>
      <c r="B9" t="s">
        <v>17</v>
      </c>
      <c r="C9" t="s">
        <v>14</v>
      </c>
      <c r="D9">
        <v>2.5</v>
      </c>
      <c r="E9">
        <v>40</v>
      </c>
      <c r="F9" s="1">
        <v>46035</v>
      </c>
      <c r="G9">
        <f t="shared" si="0"/>
        <v>100</v>
      </c>
    </row>
    <row r="10" spans="1:10" x14ac:dyDescent="0.25">
      <c r="A10">
        <v>9</v>
      </c>
      <c r="B10" t="s">
        <v>18</v>
      </c>
      <c r="C10" t="s">
        <v>8</v>
      </c>
      <c r="D10">
        <v>5.5</v>
      </c>
      <c r="E10">
        <v>10</v>
      </c>
      <c r="F10" s="1">
        <v>46036</v>
      </c>
      <c r="G10">
        <f t="shared" si="0"/>
        <v>55</v>
      </c>
    </row>
    <row r="11" spans="1:10" x14ac:dyDescent="0.25">
      <c r="A11">
        <v>10</v>
      </c>
      <c r="B11" t="s">
        <v>19</v>
      </c>
      <c r="C11" t="s">
        <v>14</v>
      </c>
      <c r="D11">
        <v>45</v>
      </c>
      <c r="E11">
        <v>1</v>
      </c>
      <c r="F11" s="1">
        <v>46036</v>
      </c>
      <c r="G11">
        <f t="shared" si="0"/>
        <v>45</v>
      </c>
    </row>
    <row r="12" spans="1:10" x14ac:dyDescent="0.25">
      <c r="G12">
        <f>SUM(G2:G11)</f>
        <v>751.75</v>
      </c>
    </row>
    <row r="13" spans="1:10" x14ac:dyDescent="0.25">
      <c r="G13">
        <f>AVERAGE(G2:G11)</f>
        <v>75.174999999999997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Miedou Ifidi</dc:creator>
  <cp:lastModifiedBy>Miedou Ifidi</cp:lastModifiedBy>
  <dcterms:created xsi:type="dcterms:W3CDTF">2025-12-08T11:07:56Z</dcterms:created>
  <dcterms:modified xsi:type="dcterms:W3CDTF">2025-12-10T05:30:42Z</dcterms:modified>
</cp:coreProperties>
</file>